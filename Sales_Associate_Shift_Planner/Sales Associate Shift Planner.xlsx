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cb454fda159fde/Documents/projects/"/>
    </mc:Choice>
  </mc:AlternateContent>
  <xr:revisionPtr revIDLastSave="0" documentId="8_{594ADA26-B687-400A-A324-B8D06C7AF8AB}" xr6:coauthVersionLast="47" xr6:coauthVersionMax="47" xr10:uidLastSave="{00000000-0000-0000-0000-000000000000}"/>
  <bookViews>
    <workbookView xWindow="-110" yWindow="-110" windowWidth="19420" windowHeight="10300" xr2:uid="{EE8FEF2D-5F69-46F3-95AE-CECC74895CC5}"/>
  </bookViews>
  <sheets>
    <sheet name="Employees" sheetId="5" r:id="rId1"/>
    <sheet name="Shifts" sheetId="2" r:id="rId2"/>
    <sheet name="Schedule" sheetId="6" r:id="rId3"/>
    <sheet name="Dashboard" sheetId="4" r:id="rId4"/>
  </sheets>
  <definedNames>
    <definedName name="EmployeeNames">tblEmployees[Name]</definedName>
    <definedName name="WeekStart">Schedule!$B$1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6" l="1"/>
  <c r="N25" i="6"/>
  <c r="B10" i="4" s="1"/>
  <c r="O25" i="6"/>
  <c r="E21" i="4" s="1"/>
  <c r="P25" i="6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B9" i="4"/>
  <c r="B4" i="4"/>
  <c r="P15" i="6"/>
  <c r="P16" i="6"/>
  <c r="P17" i="6"/>
  <c r="P18" i="6"/>
  <c r="P19" i="6"/>
  <c r="P20" i="6"/>
  <c r="P21" i="6"/>
  <c r="P22" i="6"/>
  <c r="P23" i="6"/>
  <c r="P24" i="6"/>
  <c r="P14" i="6"/>
  <c r="O15" i="6"/>
  <c r="O16" i="6"/>
  <c r="O17" i="6"/>
  <c r="O18" i="6"/>
  <c r="O19" i="6"/>
  <c r="O20" i="6"/>
  <c r="O21" i="6"/>
  <c r="O22" i="6"/>
  <c r="O23" i="6"/>
  <c r="O24" i="6"/>
  <c r="O14" i="6"/>
  <c r="M15" i="6"/>
  <c r="N16" i="6" s="1"/>
  <c r="M16" i="6"/>
  <c r="N17" i="6" s="1"/>
  <c r="M17" i="6"/>
  <c r="M18" i="6"/>
  <c r="N19" i="6" s="1"/>
  <c r="M19" i="6"/>
  <c r="M20" i="6"/>
  <c r="M21" i="6"/>
  <c r="M22" i="6"/>
  <c r="M23" i="6"/>
  <c r="M24" i="6"/>
  <c r="M14" i="6"/>
  <c r="B4" i="6"/>
  <c r="B5" i="6"/>
  <c r="B6" i="6" a="1"/>
  <c r="B6" i="6" s="1"/>
  <c r="B7" i="6" a="1"/>
  <c r="B7" i="6" s="1"/>
  <c r="B8" i="6" a="1"/>
  <c r="B8" i="6" s="1"/>
  <c r="B9" i="6" a="1"/>
  <c r="B9" i="6" s="1"/>
  <c r="B10" i="6" a="1"/>
  <c r="B10" i="6" s="1"/>
  <c r="E22" i="4" l="1"/>
  <c r="B11" i="4"/>
  <c r="E20" i="4"/>
  <c r="N21" i="6"/>
  <c r="N24" i="6"/>
  <c r="N23" i="6"/>
  <c r="N14" i="6"/>
  <c r="B5" i="4"/>
  <c r="N22" i="6"/>
  <c r="N15" i="6"/>
  <c r="B7" i="4"/>
  <c r="B8" i="4"/>
  <c r="N20" i="6"/>
  <c r="N18" i="6"/>
  <c r="B6" i="4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<sst xmlns="http://schemas.openxmlformats.org/spreadsheetml/2006/main" count="355" uniqueCount="83">
  <si>
    <t>Employee_ID</t>
  </si>
  <si>
    <t>Name</t>
  </si>
  <si>
    <t>Role</t>
  </si>
  <si>
    <t>MaxHoursPerWeek</t>
  </si>
  <si>
    <t>OverTimeAllowed</t>
  </si>
  <si>
    <t>AvailableMon</t>
  </si>
  <si>
    <t>AvailableTue</t>
  </si>
  <si>
    <t>AvailableWed</t>
  </si>
  <si>
    <t>AvailableFri</t>
  </si>
  <si>
    <t>AvailableThu</t>
  </si>
  <si>
    <t>AvailableSat</t>
  </si>
  <si>
    <t>AvailableSun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</si>
  <si>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</si>
  <si>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</si>
  <si>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</si>
  <si>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</si>
  <si>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</si>
  <si>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</si>
  <si>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</si>
  <si>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</si>
  <si>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</si>
  <si>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</si>
  <si>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</si>
  <si>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</si>
  <si>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Venu</t>
  </si>
  <si>
    <t>Sangeetha</t>
  </si>
  <si>
    <t>Ravi</t>
  </si>
  <si>
    <t>Rushitha</t>
  </si>
  <si>
    <t>Ishnai</t>
  </si>
  <si>
    <t>Vindhya</t>
  </si>
  <si>
    <t>Varshith</t>
  </si>
  <si>
    <t>Ashwitha</t>
  </si>
  <si>
    <t>Srivarsha</t>
  </si>
  <si>
    <t>Vardhan</t>
  </si>
  <si>
    <t>Prem</t>
  </si>
  <si>
    <t>Manasa</t>
  </si>
  <si>
    <t>Sales Associate</t>
  </si>
  <si>
    <t>Yes</t>
  </si>
  <si>
    <t>No</t>
  </si>
  <si>
    <t>Shift_Id</t>
  </si>
  <si>
    <t>ShiftName</t>
  </si>
  <si>
    <t>EndTime</t>
  </si>
  <si>
    <t>HoursPerShift</t>
  </si>
  <si>
    <t>S_Morning</t>
  </si>
  <si>
    <t>Morning</t>
  </si>
  <si>
    <t>S_Afternoon</t>
  </si>
  <si>
    <t>Afternoon</t>
  </si>
  <si>
    <t>S_Evening</t>
  </si>
  <si>
    <t>Evening</t>
  </si>
  <si>
    <t>Week of</t>
  </si>
  <si>
    <t>Day</t>
  </si>
  <si>
    <t>Date</t>
  </si>
  <si>
    <t>Monday</t>
  </si>
  <si>
    <t>Tuesday</t>
  </si>
  <si>
    <t>Wednesday</t>
  </si>
  <si>
    <t>Thursday</t>
  </si>
  <si>
    <t>Friday</t>
  </si>
  <si>
    <t>Saturday</t>
  </si>
  <si>
    <t>Sunday</t>
  </si>
  <si>
    <t>KPIs</t>
  </si>
  <si>
    <t>Total Employees</t>
  </si>
  <si>
    <t>Total Hours Scheduled</t>
  </si>
  <si>
    <t>Overtime Hours</t>
  </si>
  <si>
    <t>Employees with Conflicts</t>
  </si>
  <si>
    <t>Total Hours</t>
  </si>
  <si>
    <t>TotalHours</t>
  </si>
  <si>
    <t>OverTimeHours</t>
  </si>
  <si>
    <t>HasDoubleShift</t>
  </si>
  <si>
    <t>HasAvailabilityViolation</t>
  </si>
  <si>
    <t>Employee_Id</t>
  </si>
  <si>
    <t>Employees with DoubleShifts</t>
  </si>
  <si>
    <t>Value</t>
  </si>
  <si>
    <t>Employees with Availability Violations</t>
  </si>
  <si>
    <t>Employee</t>
  </si>
  <si>
    <t>StartTime</t>
  </si>
  <si>
    <t>Sales Associate Shift Planner Dashboard</t>
  </si>
  <si>
    <t>Average Hours per Employee</t>
  </si>
  <si>
    <t>Employees with Overtime</t>
  </si>
  <si>
    <t>Issue</t>
  </si>
  <si>
    <t>Count</t>
  </si>
  <si>
    <t>Double Shifts</t>
  </si>
  <si>
    <t>Availability Violations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</si>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</sst>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7251E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8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2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theme="7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51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</dxf>
    <dxf>
      <numFmt numFmtId="23" formatCode="h:mm\ AM/PM"/>
    </dxf>
    <dxf>
      <numFmt numFmtId="23" formatCode="h:mm\ AM/P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5">
                    <a:lumMod val="50000"/>
                  </a:schemeClr>
                </a:solidFill>
              </a:rPr>
              <a:t>Hours per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20402091826789"/>
          <c:y val="0.16548543689320391"/>
          <c:w val="0.84943322343049421"/>
          <c:h val="0.6056241877532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Dashboard!$D$4:$D$15</c:f>
              <c:strCache>
                <c:ptCount val="12"/>
                <c:pt idx="0">
                  <c:v>Venu</c:v>
                </c:pt>
                <c:pt idx="1">
                  <c:v>Sangeetha</c:v>
                </c:pt>
                <c:pt idx="2">
                  <c:v>Ravi</c:v>
                </c:pt>
                <c:pt idx="3">
                  <c:v>Rushitha</c:v>
                </c:pt>
                <c:pt idx="4">
                  <c:v>Ishnai</c:v>
                </c:pt>
                <c:pt idx="5">
                  <c:v>Vindhya</c:v>
                </c:pt>
                <c:pt idx="6">
                  <c:v>Varshith</c:v>
                </c:pt>
                <c:pt idx="7">
                  <c:v>Ashwitha</c:v>
                </c:pt>
                <c:pt idx="8">
                  <c:v>Srivarsha</c:v>
                </c:pt>
                <c:pt idx="9">
                  <c:v>Vardhan</c:v>
                </c:pt>
                <c:pt idx="10">
                  <c:v>Prem</c:v>
                </c:pt>
                <c:pt idx="11">
                  <c:v>Manasa</c:v>
                </c:pt>
              </c:strCache>
            </c:strRef>
          </c:cat>
          <c:val>
            <c:numRef>
              <c:f>Dashboard!$E$4:$E$15</c:f>
              <c:numCache>
                <c:formatCode>General</c:formatCode>
                <c:ptCount val="12"/>
                <c:pt idx="0">
                  <c:v>24</c:v>
                </c:pt>
                <c:pt idx="1">
                  <c:v>8</c:v>
                </c:pt>
                <c:pt idx="2">
                  <c:v>8</c:v>
                </c:pt>
                <c:pt idx="3">
                  <c:v>24</c:v>
                </c:pt>
                <c:pt idx="4">
                  <c:v>16</c:v>
                </c:pt>
                <c:pt idx="5">
                  <c:v>8</c:v>
                </c:pt>
                <c:pt idx="6">
                  <c:v>16</c:v>
                </c:pt>
                <c:pt idx="7">
                  <c:v>8</c:v>
                </c:pt>
                <c:pt idx="8">
                  <c:v>16</c:v>
                </c:pt>
                <c:pt idx="9">
                  <c:v>16</c:v>
                </c:pt>
                <c:pt idx="10">
                  <c:v>8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C-40D1-85C0-09E85AEA9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0975215"/>
        <c:axId val="1860966575"/>
      </c:barChart>
      <c:catAx>
        <c:axId val="18609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66575"/>
        <c:crosses val="autoZero"/>
        <c:auto val="1"/>
        <c:lblAlgn val="ctr"/>
        <c:lblOffset val="100"/>
        <c:noMultiLvlLbl val="0"/>
      </c:catAx>
      <c:valAx>
        <c:axId val="186096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7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5">
                    <a:lumMod val="50000"/>
                  </a:schemeClr>
                </a:solidFill>
                <a:effectLst/>
              </a:rPr>
              <a:t>Scheduling Issues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Dashboard!$D$20:$D$22</c:f>
              <c:strCache>
                <c:ptCount val="3"/>
                <c:pt idx="0">
                  <c:v>Double Shifts</c:v>
                </c:pt>
                <c:pt idx="1">
                  <c:v>Availability Violations</c:v>
                </c:pt>
                <c:pt idx="2">
                  <c:v>Overtime</c:v>
                </c:pt>
              </c:strCache>
            </c:strRef>
          </c:cat>
          <c:val>
            <c:numRef>
              <c:f>Dashboard!$E$20:$E$22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B-4B2D-999A-7AD2636E3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485167"/>
        <c:axId val="2018485647"/>
      </c:barChart>
      <c:catAx>
        <c:axId val="201848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85647"/>
        <c:crosses val="autoZero"/>
        <c:auto val="1"/>
        <c:lblAlgn val="ctr"/>
        <c:lblOffset val="100"/>
        <c:noMultiLvlLbl val="0"/>
      </c:catAx>
      <c:valAx>
        <c:axId val="201848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8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330201</xdr:colOff>
      <xdr:row>1</xdr:row>
      <xdr:rowOff>165100</xdr:rowOff>
    </xdr:from>
    <xdr:to>
      <xdr:col>9</xdr:col>
      <xdr:colOff>431801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8CFBE-D1DB-6274-95C3-EF2777232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12</xdr:row>
      <xdr:rowOff>177800</xdr:rowOff>
    </xdr:from>
    <xdr:to>
      <xdr:col>0</xdr:col>
      <xdr:colOff>2089150</xdr:colOff>
      <xdr:row>17</xdr:row>
      <xdr:rowOff>6350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AD11F4A-0232-A800-F7B0-24D0D8460060}"/>
            </a:ext>
          </a:extLst>
        </xdr:cNvPr>
        <xdr:cNvSpPr/>
      </xdr:nvSpPr>
      <xdr:spPr>
        <a:xfrm>
          <a:off x="114300" y="2387600"/>
          <a:ext cx="1974850" cy="7493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Hours Scheduled</a:t>
          </a:r>
        </a:p>
      </xdr:txBody>
    </xdr:sp>
    <xdr:clientData/>
  </xdr:twoCellAnchor>
  <xdr:oneCellAnchor>
    <xdr:from>
      <xdr:col>0</xdr:col>
      <xdr:colOff>698500</xdr:colOff>
      <xdr:row>14</xdr:row>
      <xdr:rowOff>0</xdr:rowOff>
    </xdr:from>
    <xdr:ext cx="749300" cy="530658"/>
    <xdr:sp macro="" textlink="B5">
      <xdr:nvSpPr>
        <xdr:cNvPr id="6" name="TextBox 5">
          <a:extLst>
            <a:ext uri="{FF2B5EF4-FFF2-40B4-BE49-F238E27FC236}">
              <a16:creationId xmlns:a16="http://schemas.microsoft.com/office/drawing/2014/main" id="{26EC1CC4-BC9A-2380-2293-BA4BC9D35327}"/>
            </a:ext>
          </a:extLst>
        </xdr:cNvPr>
        <xdr:cNvSpPr txBox="1"/>
      </xdr:nvSpPr>
      <xdr:spPr>
        <a:xfrm>
          <a:off x="698500" y="2578100"/>
          <a:ext cx="74930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DD28C229-0A49-404B-B44A-A82E36BA439D}" type="TxLink">
            <a:rPr lang="en-US" sz="28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168</a:t>
          </a:fld>
          <a:endParaRPr lang="en-IN" sz="28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0</xdr:col>
      <xdr:colOff>2273300</xdr:colOff>
      <xdr:row>13</xdr:row>
      <xdr:rowOff>0</xdr:rowOff>
    </xdr:from>
    <xdr:to>
      <xdr:col>2</xdr:col>
      <xdr:colOff>209550</xdr:colOff>
      <xdr:row>17</xdr:row>
      <xdr:rowOff>12700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469D309-4A3C-4256-89A9-588BBC2CEAD6}"/>
            </a:ext>
          </a:extLst>
        </xdr:cNvPr>
        <xdr:cNvSpPr/>
      </xdr:nvSpPr>
      <xdr:spPr>
        <a:xfrm>
          <a:off x="2273300" y="2393950"/>
          <a:ext cx="1892300" cy="7493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Hours Scheduled</a:t>
          </a:r>
        </a:p>
      </xdr:txBody>
    </xdr:sp>
    <xdr:clientData/>
  </xdr:twoCellAnchor>
  <xdr:oneCellAnchor>
    <xdr:from>
      <xdr:col>1</xdr:col>
      <xdr:colOff>508000</xdr:colOff>
      <xdr:row>14</xdr:row>
      <xdr:rowOff>12700</xdr:rowOff>
    </xdr:from>
    <xdr:ext cx="548612" cy="530658"/>
    <xdr:sp macro="" textlink="B4">
      <xdr:nvSpPr>
        <xdr:cNvPr id="10" name="TextBox 9">
          <a:extLst>
            <a:ext uri="{FF2B5EF4-FFF2-40B4-BE49-F238E27FC236}">
              <a16:creationId xmlns:a16="http://schemas.microsoft.com/office/drawing/2014/main" id="{380F25DE-13B2-B714-7640-6333C379EA79}"/>
            </a:ext>
          </a:extLst>
        </xdr:cNvPr>
        <xdr:cNvSpPr txBox="1"/>
      </xdr:nvSpPr>
      <xdr:spPr>
        <a:xfrm>
          <a:off x="2921000" y="2590800"/>
          <a:ext cx="54861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19D60BC4-A99E-4F94-BC95-1A5EA3ACF011}" type="TxLink">
            <a:rPr lang="en-US" sz="28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12</a:t>
          </a:fld>
          <a:endParaRPr lang="en-IN" sz="28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0</xdr:col>
      <xdr:colOff>114300</xdr:colOff>
      <xdr:row>18</xdr:row>
      <xdr:rowOff>44450</xdr:rowOff>
    </xdr:from>
    <xdr:to>
      <xdr:col>0</xdr:col>
      <xdr:colOff>2082800</xdr:colOff>
      <xdr:row>22</xdr:row>
      <xdr:rowOff>57150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AB162CC-D23D-4158-BDCE-C7E34E588771}"/>
            </a:ext>
          </a:extLst>
        </xdr:cNvPr>
        <xdr:cNvSpPr/>
      </xdr:nvSpPr>
      <xdr:spPr>
        <a:xfrm>
          <a:off x="114300" y="3359150"/>
          <a:ext cx="1968500" cy="7493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Average Hours per Employee</a:t>
          </a:r>
        </a:p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0</xdr:col>
      <xdr:colOff>781050</xdr:colOff>
      <xdr:row>19</xdr:row>
      <xdr:rowOff>63500</xdr:rowOff>
    </xdr:from>
    <xdr:ext cx="548612" cy="530658"/>
    <xdr:sp macro="" textlink="B9">
      <xdr:nvSpPr>
        <xdr:cNvPr id="14" name="TextBox 13">
          <a:extLst>
            <a:ext uri="{FF2B5EF4-FFF2-40B4-BE49-F238E27FC236}">
              <a16:creationId xmlns:a16="http://schemas.microsoft.com/office/drawing/2014/main" id="{BC739540-7E65-D0A3-F7B9-B2DCB4ED3882}"/>
            </a:ext>
          </a:extLst>
        </xdr:cNvPr>
        <xdr:cNvSpPr txBox="1"/>
      </xdr:nvSpPr>
      <xdr:spPr>
        <a:xfrm>
          <a:off x="781050" y="3562350"/>
          <a:ext cx="54861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E51BE9DC-3898-4D3E-9F4C-0459CF555F44}" type="TxLink">
            <a:rPr lang="en-US" sz="28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14</a:t>
          </a:fld>
          <a:endParaRPr lang="en-IN" sz="28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0</xdr:col>
      <xdr:colOff>2266950</xdr:colOff>
      <xdr:row>18</xdr:row>
      <xdr:rowOff>38100</xdr:rowOff>
    </xdr:from>
    <xdr:to>
      <xdr:col>2</xdr:col>
      <xdr:colOff>222250</xdr:colOff>
      <xdr:row>22</xdr:row>
      <xdr:rowOff>50800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2868C5B-F996-44BC-B1DC-1C2656F6B11D}"/>
            </a:ext>
          </a:extLst>
        </xdr:cNvPr>
        <xdr:cNvSpPr/>
      </xdr:nvSpPr>
      <xdr:spPr>
        <a:xfrm>
          <a:off x="2266950" y="3352800"/>
          <a:ext cx="1911350" cy="7493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Employees with Overtime</a:t>
          </a:r>
        </a:p>
        <a:p>
          <a:br>
            <a:rPr lang="en-IN"/>
          </a:br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1</xdr:col>
      <xdr:colOff>647700</xdr:colOff>
      <xdr:row>19</xdr:row>
      <xdr:rowOff>63500</xdr:rowOff>
    </xdr:from>
    <xdr:ext cx="366639" cy="530658"/>
    <xdr:sp macro="" textlink="B10">
      <xdr:nvSpPr>
        <xdr:cNvPr id="16" name="TextBox 15">
          <a:extLst>
            <a:ext uri="{FF2B5EF4-FFF2-40B4-BE49-F238E27FC236}">
              <a16:creationId xmlns:a16="http://schemas.microsoft.com/office/drawing/2014/main" id="{C0C5593D-EADC-E57A-0938-6985C0B73F2A}"/>
            </a:ext>
          </a:extLst>
        </xdr:cNvPr>
        <xdr:cNvSpPr txBox="1"/>
      </xdr:nvSpPr>
      <xdr:spPr>
        <a:xfrm>
          <a:off x="3060700" y="3562350"/>
          <a:ext cx="3666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D290DFEC-718C-49F1-9D6F-C586BAD831A3}" type="TxLink">
            <a:rPr lang="en-US" sz="28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0</a:t>
          </a:fld>
          <a:endParaRPr lang="en-IN" sz="28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0</xdr:col>
      <xdr:colOff>120650</xdr:colOff>
      <xdr:row>23</xdr:row>
      <xdr:rowOff>95250</xdr:rowOff>
    </xdr:from>
    <xdr:to>
      <xdr:col>0</xdr:col>
      <xdr:colOff>2095500</xdr:colOff>
      <xdr:row>27</xdr:row>
      <xdr:rowOff>107950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E6F1864-1C05-4023-B61E-03D93FC4CA16}"/>
            </a:ext>
          </a:extLst>
        </xdr:cNvPr>
        <xdr:cNvSpPr/>
      </xdr:nvSpPr>
      <xdr:spPr>
        <a:xfrm>
          <a:off x="120650" y="4330700"/>
          <a:ext cx="1974850" cy="7493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Employees with Conflicts</a:t>
          </a:r>
          <a:endParaRPr lang="en-IN" sz="1100" b="0" cap="none" spc="0">
            <a:ln w="0"/>
            <a:solidFill>
              <a:schemeClr val="accent5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1</xdr:col>
      <xdr:colOff>495300</xdr:colOff>
      <xdr:row>26</xdr:row>
      <xdr:rowOff>152400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8DAFE5D-C1F2-507D-6091-03504B1F5D27}"/>
            </a:ext>
          </a:extLst>
        </xdr:cNvPr>
        <xdr:cNvSpPr txBox="1"/>
      </xdr:nvSpPr>
      <xdr:spPr>
        <a:xfrm>
          <a:off x="2908300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939800</xdr:colOff>
      <xdr:row>24</xdr:row>
      <xdr:rowOff>88900</xdr:rowOff>
    </xdr:from>
    <xdr:ext cx="366639" cy="530658"/>
    <xdr:sp macro="" textlink="B11">
      <xdr:nvSpPr>
        <xdr:cNvPr id="19" name="TextBox 18">
          <a:extLst>
            <a:ext uri="{FF2B5EF4-FFF2-40B4-BE49-F238E27FC236}">
              <a16:creationId xmlns:a16="http://schemas.microsoft.com/office/drawing/2014/main" id="{E98D35CB-5418-2A86-4B9E-5EEAC62F52C4}"/>
            </a:ext>
          </a:extLst>
        </xdr:cNvPr>
        <xdr:cNvSpPr txBox="1"/>
      </xdr:nvSpPr>
      <xdr:spPr>
        <a:xfrm>
          <a:off x="939800" y="4508500"/>
          <a:ext cx="3666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67729B2-F9DF-4AED-B811-37EC060B4472}" type="TxLink">
            <a:rPr lang="en-US" sz="28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5</a:t>
          </a:fld>
          <a:endParaRPr lang="en-IN" sz="28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0</xdr:col>
      <xdr:colOff>2266950</xdr:colOff>
      <xdr:row>23</xdr:row>
      <xdr:rowOff>82550</xdr:rowOff>
    </xdr:from>
    <xdr:to>
      <xdr:col>2</xdr:col>
      <xdr:colOff>273050</xdr:colOff>
      <xdr:row>27</xdr:row>
      <xdr:rowOff>95250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EF70E57-672D-4BAA-9269-83EB31E9F2EA}"/>
            </a:ext>
          </a:extLst>
        </xdr:cNvPr>
        <xdr:cNvSpPr/>
      </xdr:nvSpPr>
      <xdr:spPr>
        <a:xfrm>
          <a:off x="2266950" y="4318000"/>
          <a:ext cx="1962150" cy="7493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Employees with DoubleShifts</a:t>
          </a:r>
          <a:endParaRPr lang="en-IN" sz="1100" b="0" cap="none" spc="0">
            <a:ln w="0"/>
            <a:solidFill>
              <a:schemeClr val="accent5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1</xdr:col>
      <xdr:colOff>666750</xdr:colOff>
      <xdr:row>24</xdr:row>
      <xdr:rowOff>88900</xdr:rowOff>
    </xdr:from>
    <xdr:ext cx="366639" cy="530658"/>
    <xdr:sp macro="" textlink="B7">
      <xdr:nvSpPr>
        <xdr:cNvPr id="21" name="TextBox 20">
          <a:extLst>
            <a:ext uri="{FF2B5EF4-FFF2-40B4-BE49-F238E27FC236}">
              <a16:creationId xmlns:a16="http://schemas.microsoft.com/office/drawing/2014/main" id="{C23E7A0C-A6CD-7AAE-D6AB-56C0F983BF9F}"/>
            </a:ext>
          </a:extLst>
        </xdr:cNvPr>
        <xdr:cNvSpPr txBox="1"/>
      </xdr:nvSpPr>
      <xdr:spPr>
        <a:xfrm>
          <a:off x="3079750" y="4508500"/>
          <a:ext cx="3666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6AEDE2A-F030-4BE6-99B1-7944F292EF53}" type="TxLink">
            <a:rPr lang="en-US" sz="28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/>
            <a:t>3</a:t>
          </a:fld>
          <a:endParaRPr lang="en-IN" sz="28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5</xdr:col>
      <xdr:colOff>336549</xdr:colOff>
      <xdr:row>18</xdr:row>
      <xdr:rowOff>12700</xdr:rowOff>
    </xdr:from>
    <xdr:to>
      <xdr:col>9</xdr:col>
      <xdr:colOff>412750</xdr:colOff>
      <xdr:row>27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4E66683-3C6D-8D66-BE76-C7FF2084F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095752-D36A-4FE9-8877-6B80F5290857}" name="tblEmployees" displayName="tblEmployees" ref="A1:L13" totalsRowShown="0" headerRowDxfId="22">
  <autoFilter ref="A1:L13" xr:uid="{93095752-D36A-4FE9-8877-6B80F5290857}"/>
  <tableColumns count="12">
    <tableColumn id="1" xr3:uid="{E427D9A0-64CC-407F-8704-A9D7EDC3F9EC}" name="Employee_ID"/>
    <tableColumn id="2" xr3:uid="{EFE1C23D-FDE0-40E5-A427-E9FCCECA61F8}" name="Name"/>
    <tableColumn id="3" xr3:uid="{B46D66F2-B27B-471D-B0C9-15059A8A6940}" name="Role"/>
    <tableColumn id="4" xr3:uid="{06577A61-A769-4A46-B388-9267FDDA39D2}" name="MaxHoursPerWeek"/>
    <tableColumn id="5" xr3:uid="{E80F01A6-1119-4E83-85FB-0167362D2AA9}" name="OverTimeAllowed"/>
    <tableColumn id="6" xr3:uid="{AC9CBC12-AFB7-425A-B570-37719B213EBD}" name="AvailableMon"/>
    <tableColumn id="7" xr3:uid="{B887AD5E-D2D9-46B4-9CE1-0FAF1FEB9E7E}" name="AvailableTue"/>
    <tableColumn id="8" xr3:uid="{CAE4F72E-1C1C-4689-BBC1-169C164EDAA7}" name="AvailableWed"/>
    <tableColumn id="9" xr3:uid="{6D612C59-453B-4A7D-B944-F72EE95776F6}" name="AvailableThu"/>
    <tableColumn id="10" xr3:uid="{2B4C8385-0E3B-4C34-B9A6-7C1708C88FCF}" name="AvailableFri"/>
    <tableColumn id="11" xr3:uid="{E2FBD667-9835-45FC-93C9-1EEEC9B7ADD9}" name="AvailableSat"/>
    <tableColumn id="12" xr3:uid="{1EEA7000-443F-4B98-94E2-24D775D0F631}" name="AvailableSu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740B18-86D3-4646-8350-A094A0F45BC0}" name="tblShifts" displayName="tblShifts" ref="A1:E4" totalsRowShown="0">
  <autoFilter ref="A1:E4" xr:uid="{85740B18-86D3-4646-8350-A094A0F45BC0}"/>
  <tableColumns count="5">
    <tableColumn id="1" xr3:uid="{7774B39D-244C-4DA6-9672-D511AF90CDBB}" name="Shift_Id"/>
    <tableColumn id="2" xr3:uid="{EF4C0022-E98C-4AD0-8080-AAE733E72A40}" name="ShiftName"/>
    <tableColumn id="3" xr3:uid="{958B2772-7F01-4A1B-ACFB-15DEB8B58392}" name="StartTime" dataDxfId="21"/>
    <tableColumn id="4" xr3:uid="{1DC50D14-8CD9-43C6-9440-58857C0B104D}" name="EndTime" dataDxfId="20"/>
    <tableColumn id="5" xr3:uid="{EB2DA7E2-8885-4BF3-8EF2-CDC680721280}" name="HoursPerShif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11A5A7-5B5E-460A-A9B9-CBCF2FFE5B5A}" name="Table10" displayName="Table10" ref="A3:E10" totalsRowShown="0">
  <autoFilter ref="A3:E10" xr:uid="{E111A5A7-5B5E-460A-A9B9-CBCF2FFE5B5A}"/>
  <tableColumns count="5">
    <tableColumn id="1" xr3:uid="{F725A845-751D-428B-BCA2-196AAF04AB89}" name="Day"/>
    <tableColumn id="2" xr3:uid="{2A169BC0-C59E-42E8-A9A1-AD7F59F17498}" name="Date" dataDxfId="19"/>
    <tableColumn id="3" xr3:uid="{62DCC969-11CB-4C57-AB69-98CE0D2FAAAC}" name="Morning"/>
    <tableColumn id="4" xr3:uid="{DCDBAFEA-C507-4B2E-8DF1-0E46701DDA22}" name="Afternoon"/>
    <tableColumn id="5" xr3:uid="{D50047C8-92F1-4E25-AD51-9C8119A15AB2}" name="Eve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C2D803-6CFC-4A84-8AB8-4F33F9A31842}" name="Table11" displayName="Table11" ref="A13:P25" totalsRowShown="0">
  <autoFilter ref="A13:P25" xr:uid="{9BC2D803-6CFC-4A84-8AB8-4F33F9A31842}"/>
  <tableColumns count="16">
    <tableColumn id="1" xr3:uid="{2488F73C-DEA9-4E15-964D-C729BAD7667C}" name="Employee_Id" dataDxfId="18"/>
    <tableColumn id="2" xr3:uid="{856C0468-289C-4B63-8D99-2826EA7BEEB3}" name="Name" dataDxfId="17"/>
    <tableColumn id="3" xr3:uid="{9DCB5805-4619-434D-9309-5ECB22C0C457}" name="Role" dataDxfId="16"/>
    <tableColumn id="4" xr3:uid="{FF8D94BA-9F89-4398-A2E2-5A2C7D342BC3}" name="MaxHoursPerWeek" dataDxfId="15"/>
    <tableColumn id="5" xr3:uid="{645DCBE3-0DA5-45F9-B9F1-6F0A76D7333C}" name="OverTimeAllowed" dataDxfId="14"/>
    <tableColumn id="6" xr3:uid="{B8C6FC51-68B1-4F7B-9774-781D6302C037}" name="AvailableMon" dataDxfId="13"/>
    <tableColumn id="7" xr3:uid="{AA2C8F76-7028-43BA-8851-D6A706B9993C}" name="AvailableTue" dataDxfId="12"/>
    <tableColumn id="8" xr3:uid="{57EB461C-46E5-4587-BC68-FE1A6F0B458C}" name="AvailableWed" dataDxfId="11"/>
    <tableColumn id="9" xr3:uid="{58878F4C-77AA-473C-B016-7B27F068B6A8}" name="AvailableThu" dataDxfId="10"/>
    <tableColumn id="10" xr3:uid="{5458AF38-79DF-42D6-B7EC-D9E8E00FD129}" name="AvailableFri" dataDxfId="9"/>
    <tableColumn id="11" xr3:uid="{09614889-D921-4EDB-865C-DB172D2773F3}" name="AvailableSat" dataDxfId="8"/>
    <tableColumn id="12" xr3:uid="{8135427E-7B41-48D4-A49C-0DFE64628BDE}" name="AvailableSun" dataDxfId="7"/>
    <tableColumn id="13" xr3:uid="{CC0A8FBE-84C1-4313-A122-CA08101F30B0}" name="TotalHours">
      <calculatedColumnFormula>COUNTIF($C$4:$E$10, B14) * 8</calculatedColumnFormula>
    </tableColumn>
    <tableColumn id="14" xr3:uid="{2985A98E-7EB2-4C87-94B0-73E33D21EFAF}" name="OverTimeHours" dataDxfId="6">
      <calculatedColumnFormula>MAX(0, M13 - D13)</calculatedColumnFormula>
    </tableColumn>
    <tableColumn id="15" xr3:uid="{0FCB1111-9E1C-4320-99FB-D4A0FF1169E3}" name="HasDoubleShift">
      <calculatedColumnFormula>IF(
  OR(
    COUNTIF($C$4:$E$4, B14)&gt;1,
    COUNTIF($C$5:$E$5, B14)&gt;1,
    COUNTIF($C$6:$E$6, B14)&gt;1,
    COUNTIF($C$7:$E$7, B14)&gt;1,
    COUNTIF($C$8:$E$8, B14)&gt;1,
    COUNTIF($C$9:$E$9, B14)&gt;1,
    COUNTIF($C$10:$E$10, B14)&gt;1
  ),
  "Yes",
  "No"
)</calculatedColumnFormula>
    </tableColumn>
    <tableColumn id="16" xr3:uid="{618E76C4-2C18-41FA-83FD-6A07089E712E}" name="HasAvailabilityViolation">
      <calculatedColumnFormula>IF(
  OR(
    AND(COUNTIF($C$4:$E$4, B14)&gt;0, F14="No"),
    AND(COUNTIF($C$5:$E$5, B14)&gt;0, G14="No"),
    AND(COUNTIF($C$6:$E$6, B14)&gt;0, H14="No"),
    AND(COUNTIF($C$7:$E$7, B14)&gt;0, I14="No"),
    AND(COUNTIF($C$8:$E$8, B14)&gt;0, J14="No"),
    AND(COUNTIF($C$9:$E$9, B14)&gt;0, K14="No"),
    AND(COUNTIF($C$10:$E$10, B14)&gt;0, L14="No")
  ),
  "Yes",
  "No"
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004F63-4294-44D9-99CF-A84B7B1F4639}" name="Table5" displayName="Table5" ref="A3:B11" totalsRowShown="0">
  <autoFilter ref="A3:B11" xr:uid="{A2004F63-4294-44D9-99CF-A84B7B1F4639}"/>
  <tableColumns count="2">
    <tableColumn id="1" xr3:uid="{E591C167-63D6-457B-BF22-F505C22C3F86}" name="KPIs" dataDxfId="5"/>
    <tableColumn id="2" xr3:uid="{685664FA-3068-4F17-9A33-AEC0F519AACC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EAF3B5-136C-4C31-8AE9-64B96A3EE374}" name="Table7" displayName="Table7" ref="D3:E15" totalsRowShown="0">
  <autoFilter ref="D3:E15" xr:uid="{25EAF3B5-136C-4C31-8AE9-64B96A3EE374}"/>
  <tableColumns count="2">
    <tableColumn id="1" xr3:uid="{DDB5CE80-654F-42AB-869A-FEC4C0D18E26}" name="Employee">
      <calculatedColumnFormula>Schedule!B14</calculatedColumnFormula>
    </tableColumn>
    <tableColumn id="2" xr3:uid="{6E044052-9EA5-4240-BDB3-ACADA47C7F65}" name="Total Hours">
      <calculatedColumnFormula>Schedule!M14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4E4D62-E4D2-4B92-9860-824D6F5CC5DC}" name="Table9" displayName="Table9" ref="D19:E22" totalsRowShown="0">
  <autoFilter ref="D19:E22" xr:uid="{F54E4D62-E4D2-4B92-9860-824D6F5CC5DC}"/>
  <tableColumns count="2">
    <tableColumn id="1" xr3:uid="{73A28060-A97E-448A-B9F2-A2522D10E0AE}" name="Issue"/>
    <tableColumn id="2" xr3:uid="{05673A00-F5FD-4758-A1DD-09823221D20A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5BD3-E43D-43C0-BC85-B909FA9E99D5}">
  <dimension ref="A1:L13"/>
  <sheetViews>
    <sheetView tabSelected="1" workbookViewId="0">
      <selection activeCell="I15" sqref="I15"/>
    </sheetView>
  </sheetViews>
  <sheetFormatPr defaultRowHeight="14.5" x14ac:dyDescent="0.35"/>
  <cols>
    <col min="1" max="1" width="13.81640625" customWidth="1"/>
    <col min="2" max="2" width="9.453125" bestFit="1" customWidth="1"/>
    <col min="3" max="3" width="13.36328125" bestFit="1" customWidth="1"/>
    <col min="4" max="4" width="19.08984375" customWidth="1"/>
    <col min="5" max="5" width="17.6328125" customWidth="1"/>
    <col min="6" max="6" width="14.26953125" customWidth="1"/>
    <col min="7" max="7" width="13.453125" customWidth="1"/>
    <col min="8" max="8" width="14.26953125" customWidth="1"/>
    <col min="9" max="9" width="13.54296875" customWidth="1"/>
    <col min="10" max="10" width="12.453125" customWidth="1"/>
    <col min="11" max="11" width="13" customWidth="1"/>
    <col min="12" max="12" width="13.4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24</v>
      </c>
      <c r="C2" t="s">
        <v>36</v>
      </c>
      <c r="D2">
        <v>40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</row>
    <row r="3" spans="1:12" x14ac:dyDescent="0.35">
      <c r="A3" t="s">
        <v>13</v>
      </c>
      <c r="B3" t="s">
        <v>25</v>
      </c>
      <c r="C3" t="s">
        <v>36</v>
      </c>
      <c r="D3">
        <v>40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38</v>
      </c>
      <c r="L3" t="s">
        <v>38</v>
      </c>
    </row>
    <row r="4" spans="1:12" x14ac:dyDescent="0.35">
      <c r="A4" t="s">
        <v>14</v>
      </c>
      <c r="B4" t="s">
        <v>26</v>
      </c>
      <c r="C4" t="s">
        <v>36</v>
      </c>
      <c r="D4">
        <v>40</v>
      </c>
      <c r="E4" t="s">
        <v>38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38</v>
      </c>
      <c r="L4" t="s">
        <v>38</v>
      </c>
    </row>
    <row r="5" spans="1:12" x14ac:dyDescent="0.35">
      <c r="A5" t="s">
        <v>15</v>
      </c>
      <c r="B5" t="s">
        <v>27</v>
      </c>
      <c r="C5" t="s">
        <v>36</v>
      </c>
      <c r="D5">
        <v>40</v>
      </c>
      <c r="E5" t="s">
        <v>38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</row>
    <row r="6" spans="1:12" x14ac:dyDescent="0.35">
      <c r="A6" t="s">
        <v>16</v>
      </c>
      <c r="B6" t="s">
        <v>28</v>
      </c>
      <c r="C6" t="s">
        <v>36</v>
      </c>
      <c r="D6">
        <v>40</v>
      </c>
      <c r="E6" t="s">
        <v>37</v>
      </c>
      <c r="F6" t="s">
        <v>38</v>
      </c>
      <c r="G6" t="s">
        <v>38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</row>
    <row r="7" spans="1:12" x14ac:dyDescent="0.35">
      <c r="A7" t="s">
        <v>17</v>
      </c>
      <c r="B7" t="s">
        <v>29</v>
      </c>
      <c r="C7" t="s">
        <v>36</v>
      </c>
      <c r="D7">
        <v>40</v>
      </c>
      <c r="E7" t="s">
        <v>38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38</v>
      </c>
      <c r="L7" t="s">
        <v>38</v>
      </c>
    </row>
    <row r="8" spans="1:12" x14ac:dyDescent="0.35">
      <c r="A8" t="s">
        <v>18</v>
      </c>
      <c r="B8" t="s">
        <v>30</v>
      </c>
      <c r="C8" t="s">
        <v>36</v>
      </c>
      <c r="D8">
        <v>40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38</v>
      </c>
    </row>
    <row r="9" spans="1:12" x14ac:dyDescent="0.35">
      <c r="A9" t="s">
        <v>19</v>
      </c>
      <c r="B9" t="s">
        <v>31</v>
      </c>
      <c r="C9" t="s">
        <v>36</v>
      </c>
      <c r="D9">
        <v>40</v>
      </c>
      <c r="E9" t="s">
        <v>38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</row>
    <row r="10" spans="1:12" x14ac:dyDescent="0.35">
      <c r="A10" t="s">
        <v>20</v>
      </c>
      <c r="B10" t="s">
        <v>32</v>
      </c>
      <c r="C10" t="s">
        <v>36</v>
      </c>
      <c r="D10">
        <v>40</v>
      </c>
      <c r="E10" t="s">
        <v>38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38</v>
      </c>
      <c r="L10" t="s">
        <v>38</v>
      </c>
    </row>
    <row r="11" spans="1:12" x14ac:dyDescent="0.35">
      <c r="A11" t="s">
        <v>21</v>
      </c>
      <c r="B11" t="s">
        <v>33</v>
      </c>
      <c r="C11" t="s">
        <v>36</v>
      </c>
      <c r="D11">
        <v>40</v>
      </c>
      <c r="E11" t="s">
        <v>37</v>
      </c>
      <c r="F11" t="s">
        <v>38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</row>
    <row r="12" spans="1:12" x14ac:dyDescent="0.35">
      <c r="A12" t="s">
        <v>22</v>
      </c>
      <c r="B12" t="s">
        <v>34</v>
      </c>
      <c r="C12" t="s">
        <v>36</v>
      </c>
      <c r="D12">
        <v>40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</row>
    <row r="13" spans="1:12" x14ac:dyDescent="0.35">
      <c r="A13" t="s">
        <v>23</v>
      </c>
      <c r="B13" t="s">
        <v>35</v>
      </c>
      <c r="C13" t="s">
        <v>36</v>
      </c>
      <c r="D13">
        <v>40</v>
      </c>
      <c r="E13" t="s">
        <v>38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38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B0FD-A1A1-42FC-94FA-D0B4B2834670}">
  <dimension ref="A1:E4"/>
  <sheetViews>
    <sheetView workbookViewId="0">
      <selection activeCell="G2" sqref="G2"/>
    </sheetView>
  </sheetViews>
  <sheetFormatPr defaultRowHeight="14.5" x14ac:dyDescent="0.35"/>
  <cols>
    <col min="1" max="1" width="11.26953125" bestFit="1" customWidth="1"/>
    <col min="2" max="2" width="11.54296875" customWidth="1"/>
    <col min="3" max="3" width="10.7265625" customWidth="1"/>
    <col min="4" max="4" width="10.08984375" customWidth="1"/>
    <col min="5" max="5" width="14.453125" customWidth="1"/>
    <col min="6" max="6" width="16.1796875" customWidth="1"/>
    <col min="7" max="7" width="14.1796875" customWidth="1"/>
    <col min="8" max="8" width="18.81640625" customWidth="1"/>
  </cols>
  <sheetData>
    <row r="1" spans="1:5" x14ac:dyDescent="0.35">
      <c r="A1" t="s">
        <v>39</v>
      </c>
      <c r="B1" t="s">
        <v>40</v>
      </c>
      <c r="C1" t="s">
        <v>74</v>
      </c>
      <c r="D1" t="s">
        <v>41</v>
      </c>
      <c r="E1" t="s">
        <v>42</v>
      </c>
    </row>
    <row r="2" spans="1:5" x14ac:dyDescent="0.35">
      <c r="A2" t="s">
        <v>43</v>
      </c>
      <c r="B2" t="s">
        <v>44</v>
      </c>
      <c r="C2" s="2">
        <v>0.33333333333333331</v>
      </c>
      <c r="D2" s="2">
        <v>0.66666666666666663</v>
      </c>
      <c r="E2">
        <v>8</v>
      </c>
    </row>
    <row r="3" spans="1:5" x14ac:dyDescent="0.35">
      <c r="A3" t="s">
        <v>45</v>
      </c>
      <c r="B3" t="s">
        <v>46</v>
      </c>
      <c r="C3" s="2">
        <v>0.5</v>
      </c>
      <c r="D3" s="2">
        <v>0.83333333333333337</v>
      </c>
      <c r="E3">
        <v>8</v>
      </c>
    </row>
    <row r="4" spans="1:5" x14ac:dyDescent="0.35">
      <c r="A4" t="s">
        <v>47</v>
      </c>
      <c r="B4" t="s">
        <v>48</v>
      </c>
      <c r="C4" s="2">
        <v>0.66666666666666663</v>
      </c>
      <c r="D4" s="2">
        <v>0</v>
      </c>
      <c r="E4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D260-DC7A-4C43-BD5E-F6D2BAD73D56}">
  <dimension ref="A1:P25"/>
  <sheetViews>
    <sheetView zoomScaleNormal="100"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13.90625" bestFit="1" customWidth="1"/>
    <col min="2" max="2" width="11" bestFit="1" customWidth="1"/>
    <col min="3" max="3" width="13.36328125" bestFit="1" customWidth="1"/>
    <col min="4" max="4" width="19.54296875" bestFit="1" customWidth="1"/>
    <col min="5" max="5" width="18" bestFit="1" customWidth="1"/>
    <col min="6" max="6" width="14.54296875" bestFit="1" customWidth="1"/>
    <col min="7" max="7" width="13.7265625" bestFit="1" customWidth="1"/>
    <col min="8" max="8" width="14.54296875" bestFit="1" customWidth="1"/>
    <col min="9" max="9" width="13.81640625" bestFit="1" customWidth="1"/>
    <col min="10" max="10" width="12.7265625" bestFit="1" customWidth="1"/>
    <col min="11" max="11" width="13.26953125" bestFit="1" customWidth="1"/>
    <col min="12" max="12" width="13.7265625" bestFit="1" customWidth="1"/>
    <col min="13" max="13" width="12.36328125" bestFit="1" customWidth="1"/>
    <col min="14" max="14" width="16.26953125" bestFit="1" customWidth="1"/>
    <col min="15" max="15" width="16.08984375" bestFit="1" customWidth="1"/>
    <col min="16" max="16" width="23" bestFit="1" customWidth="1"/>
    <col min="17" max="17" width="17.1796875" bestFit="1" customWidth="1"/>
  </cols>
  <sheetData>
    <row r="1" spans="1:16" x14ac:dyDescent="0.35">
      <c r="A1" s="1" t="s">
        <v>49</v>
      </c>
      <c r="B1" s="12">
        <v>46174</v>
      </c>
    </row>
    <row r="3" spans="1:16" x14ac:dyDescent="0.35">
      <c r="A3" t="s">
        <v>50</v>
      </c>
      <c r="B3" t="s">
        <v>51</v>
      </c>
      <c r="C3" t="s">
        <v>44</v>
      </c>
      <c r="D3" t="s">
        <v>46</v>
      </c>
      <c r="E3" t="s">
        <v>48</v>
      </c>
    </row>
    <row r="4" spans="1:16" x14ac:dyDescent="0.35">
      <c r="A4" t="s">
        <v>52</v>
      </c>
      <c r="B4" s="9">
        <f xml:space="preserve">  WeekStart</f>
        <v>46174</v>
      </c>
      <c r="C4" t="s">
        <v>24</v>
      </c>
      <c r="D4" t="s">
        <v>26</v>
      </c>
      <c r="E4" t="s">
        <v>24</v>
      </c>
    </row>
    <row r="5" spans="1:16" x14ac:dyDescent="0.35">
      <c r="A5" t="s">
        <v>53</v>
      </c>
      <c r="B5" s="9">
        <f>WeekStart + 1</f>
        <v>46175</v>
      </c>
      <c r="C5" t="s">
        <v>25</v>
      </c>
      <c r="D5" t="s">
        <v>28</v>
      </c>
      <c r="E5" t="s">
        <v>33</v>
      </c>
    </row>
    <row r="6" spans="1:16" x14ac:dyDescent="0.35">
      <c r="A6" t="s">
        <v>54</v>
      </c>
      <c r="B6" s="9" cm="1">
        <f t="array" ref="B6">WeekStart+2</f>
        <v>46176</v>
      </c>
      <c r="C6" t="s">
        <v>27</v>
      </c>
      <c r="D6" t="s">
        <v>31</v>
      </c>
      <c r="E6" t="s">
        <v>34</v>
      </c>
    </row>
    <row r="7" spans="1:16" x14ac:dyDescent="0.35">
      <c r="A7" t="s">
        <v>55</v>
      </c>
      <c r="B7" s="9" cm="1">
        <f t="array" ref="B7">WeekStart+3</f>
        <v>46177</v>
      </c>
      <c r="C7" t="s">
        <v>29</v>
      </c>
      <c r="D7" t="s">
        <v>32</v>
      </c>
      <c r="E7" t="s">
        <v>32</v>
      </c>
    </row>
    <row r="8" spans="1:16" x14ac:dyDescent="0.35">
      <c r="A8" t="s">
        <v>56</v>
      </c>
      <c r="B8" s="9" cm="1">
        <f t="array" ref="B8">WeekStart+4</f>
        <v>46178</v>
      </c>
      <c r="C8" t="s">
        <v>35</v>
      </c>
      <c r="D8" t="s">
        <v>33</v>
      </c>
      <c r="E8" t="s">
        <v>30</v>
      </c>
    </row>
    <row r="9" spans="1:16" x14ac:dyDescent="0.35">
      <c r="A9" t="s">
        <v>57</v>
      </c>
      <c r="B9" s="9" cm="1">
        <f t="array" ref="B9">WeekStart+5</f>
        <v>46179</v>
      </c>
      <c r="C9" t="s">
        <v>24</v>
      </c>
      <c r="D9" t="s">
        <v>28</v>
      </c>
      <c r="E9" t="s">
        <v>35</v>
      </c>
    </row>
    <row r="10" spans="1:16" x14ac:dyDescent="0.35">
      <c r="A10" t="s">
        <v>58</v>
      </c>
      <c r="B10" s="9" cm="1">
        <f t="array" ref="B10">WeekStart+6</f>
        <v>46180</v>
      </c>
      <c r="C10" t="s">
        <v>27</v>
      </c>
      <c r="D10" t="s">
        <v>27</v>
      </c>
      <c r="E10" t="s">
        <v>30</v>
      </c>
    </row>
    <row r="13" spans="1:16" x14ac:dyDescent="0.35">
      <c r="A13" t="s">
        <v>69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9</v>
      </c>
      <c r="J13" t="s">
        <v>8</v>
      </c>
      <c r="K13" t="s">
        <v>10</v>
      </c>
      <c r="L13" t="s">
        <v>11</v>
      </c>
      <c r="M13" t="s">
        <v>65</v>
      </c>
      <c r="N13" t="s">
        <v>66</v>
      </c>
      <c r="O13" t="s">
        <v>67</v>
      </c>
      <c r="P13" t="s">
        <v>68</v>
      </c>
    </row>
    <row r="14" spans="1:16" x14ac:dyDescent="0.35">
      <c r="A14" s="3" t="s">
        <v>12</v>
      </c>
      <c r="B14" s="7" t="s">
        <v>24</v>
      </c>
      <c r="C14" s="7" t="s">
        <v>36</v>
      </c>
      <c r="D14" s="7">
        <v>40</v>
      </c>
      <c r="E14" s="7" t="s">
        <v>37</v>
      </c>
      <c r="F14" s="7" t="s">
        <v>37</v>
      </c>
      <c r="G14" s="7" t="s">
        <v>37</v>
      </c>
      <c r="H14" s="7" t="s">
        <v>37</v>
      </c>
      <c r="I14" s="7" t="s">
        <v>37</v>
      </c>
      <c r="J14" s="7" t="s">
        <v>37</v>
      </c>
      <c r="K14" s="7" t="s">
        <v>37</v>
      </c>
      <c r="L14" s="4" t="s">
        <v>38</v>
      </c>
      <c r="M14">
        <f>COUNTIF($C$4:$E$10, B14) * 8</f>
        <v>24</v>
      </c>
      <c r="N14" s="10">
        <f>MAX(0, M14 - D14)</f>
        <v>0</v>
      </c>
      <c r="O14" t="str">
        <f>IF(
  OR(
    COUNTIF($C$4:$E$4, B14)&gt;1,
    COUNTIF($C$5:$E$5, B14)&gt;1,
    COUNTIF($C$6:$E$6, B14)&gt;1,
    COUNTIF($C$7:$E$7, B14)&gt;1,
    COUNTIF($C$8:$E$8, B14)&gt;1,
    COUNTIF($C$9:$E$9, B14)&gt;1,
    COUNTIF($C$10:$E$10, B14)&gt;1
  ),
  "Yes",
  "No"
)</f>
        <v>Yes</v>
      </c>
      <c r="P14" t="str">
        <f>IF(
  OR(
    AND(COUNTIF($C$4:$E$4, B14)&gt;0, F14="No"),
    AND(COUNTIF($C$5:$E$5, B14)&gt;0, G14="No"),
    AND(COUNTIF($C$6:$E$6, B14)&gt;0, H14="No"),
    AND(COUNTIF($C$7:$E$7, B14)&gt;0, I14="No"),
    AND(COUNTIF($C$8:$E$8, B14)&gt;0, J14="No"),
    AND(COUNTIF($C$9:$E$9, B14)&gt;0, K14="No"),
    AND(COUNTIF($C$10:$E$10, B14)&gt;0, L14="No")
  ),
  "Yes",
  "No"
)</f>
        <v>No</v>
      </c>
    </row>
    <row r="15" spans="1:16" x14ac:dyDescent="0.35">
      <c r="A15" s="5" t="s">
        <v>13</v>
      </c>
      <c r="B15" s="8" t="s">
        <v>25</v>
      </c>
      <c r="C15" s="7" t="s">
        <v>36</v>
      </c>
      <c r="D15" s="8">
        <v>40</v>
      </c>
      <c r="E15" s="8" t="s">
        <v>37</v>
      </c>
      <c r="F15" s="8" t="s">
        <v>37</v>
      </c>
      <c r="G15" s="8" t="s">
        <v>37</v>
      </c>
      <c r="H15" s="8" t="s">
        <v>37</v>
      </c>
      <c r="I15" s="8" t="s">
        <v>37</v>
      </c>
      <c r="J15" s="8" t="s">
        <v>37</v>
      </c>
      <c r="K15" s="8" t="s">
        <v>38</v>
      </c>
      <c r="L15" s="6" t="s">
        <v>38</v>
      </c>
      <c r="M15">
        <f t="shared" ref="M15:M25" si="0">COUNTIF($C$4:$E$10, B15) * 8</f>
        <v>8</v>
      </c>
      <c r="N15" s="10">
        <f>MAX(0, M14 - D14)</f>
        <v>0</v>
      </c>
      <c r="O15" t="str">
        <f t="shared" ref="O15:O25" si="1">IF(
  OR(
    COUNTIF($C$4:$E$4, B15)&gt;1,
    COUNTIF($C$5:$E$5, B15)&gt;1,
    COUNTIF($C$6:$E$6, B15)&gt;1,
    COUNTIF($C$7:$E$7, B15)&gt;1,
    COUNTIF($C$8:$E$8, B15)&gt;1,
    COUNTIF($C$9:$E$9, B15)&gt;1,
    COUNTIF($C$10:$E$10, B15)&gt;1
  ),
  "Yes",
  "No"
)</f>
        <v>No</v>
      </c>
      <c r="P15" t="str">
        <f t="shared" ref="P15:P25" si="2">IF(
  OR(
    AND(COUNTIF($C$4:$E$4, B15)&gt;0, F15="No"),
    AND(COUNTIF($C$5:$E$5, B15)&gt;0, G15="No"),
    AND(COUNTIF($C$6:$E$6, B15)&gt;0, H15="No"),
    AND(COUNTIF($C$7:$E$7, B15)&gt;0, I15="No"),
    AND(COUNTIF($C$8:$E$8, B15)&gt;0, J15="No"),
    AND(COUNTIF($C$9:$E$9, B15)&gt;0, K15="No"),
    AND(COUNTIF($C$10:$E$10, B15)&gt;0, L15="No")
  ),
  "Yes",
  "No"
)</f>
        <v>No</v>
      </c>
    </row>
    <row r="16" spans="1:16" x14ac:dyDescent="0.35">
      <c r="A16" s="3" t="s">
        <v>14</v>
      </c>
      <c r="B16" s="7" t="s">
        <v>26</v>
      </c>
      <c r="C16" s="7" t="s">
        <v>36</v>
      </c>
      <c r="D16" s="7">
        <v>40</v>
      </c>
      <c r="E16" s="7" t="s">
        <v>38</v>
      </c>
      <c r="F16" s="7" t="s">
        <v>37</v>
      </c>
      <c r="G16" s="7" t="s">
        <v>37</v>
      </c>
      <c r="H16" s="7" t="s">
        <v>37</v>
      </c>
      <c r="I16" s="7" t="s">
        <v>37</v>
      </c>
      <c r="J16" s="7" t="s">
        <v>37</v>
      </c>
      <c r="K16" s="7" t="s">
        <v>38</v>
      </c>
      <c r="L16" s="4" t="s">
        <v>38</v>
      </c>
      <c r="M16">
        <f t="shared" si="0"/>
        <v>8</v>
      </c>
      <c r="N16" s="10">
        <f t="shared" ref="N16:N25" si="3">MAX(0, M15 - D15)</f>
        <v>0</v>
      </c>
      <c r="O16" t="str">
        <f t="shared" si="1"/>
        <v>No</v>
      </c>
      <c r="P16" t="str">
        <f t="shared" si="2"/>
        <v>No</v>
      </c>
    </row>
    <row r="17" spans="1:16" x14ac:dyDescent="0.35">
      <c r="A17" s="5" t="s">
        <v>15</v>
      </c>
      <c r="B17" s="8" t="s">
        <v>27</v>
      </c>
      <c r="C17" s="7" t="s">
        <v>36</v>
      </c>
      <c r="D17" s="8">
        <v>40</v>
      </c>
      <c r="E17" s="8" t="s">
        <v>38</v>
      </c>
      <c r="F17" s="8" t="s">
        <v>37</v>
      </c>
      <c r="G17" s="8" t="s">
        <v>37</v>
      </c>
      <c r="H17" s="8" t="s">
        <v>37</v>
      </c>
      <c r="I17" s="8" t="s">
        <v>37</v>
      </c>
      <c r="J17" s="8" t="s">
        <v>37</v>
      </c>
      <c r="K17" s="8" t="s">
        <v>37</v>
      </c>
      <c r="L17" s="6" t="s">
        <v>37</v>
      </c>
      <c r="M17">
        <f t="shared" si="0"/>
        <v>24</v>
      </c>
      <c r="N17" s="10">
        <f t="shared" si="3"/>
        <v>0</v>
      </c>
      <c r="O17" t="str">
        <f t="shared" si="1"/>
        <v>Yes</v>
      </c>
      <c r="P17" t="str">
        <f t="shared" si="2"/>
        <v>No</v>
      </c>
    </row>
    <row r="18" spans="1:16" x14ac:dyDescent="0.35">
      <c r="A18" s="3" t="s">
        <v>16</v>
      </c>
      <c r="B18" s="7" t="s">
        <v>28</v>
      </c>
      <c r="C18" s="7" t="s">
        <v>36</v>
      </c>
      <c r="D18" s="7">
        <v>40</v>
      </c>
      <c r="E18" s="7" t="s">
        <v>37</v>
      </c>
      <c r="F18" s="7" t="s">
        <v>38</v>
      </c>
      <c r="G18" s="7" t="s">
        <v>38</v>
      </c>
      <c r="H18" s="7" t="s">
        <v>37</v>
      </c>
      <c r="I18" s="7" t="s">
        <v>37</v>
      </c>
      <c r="J18" s="7" t="s">
        <v>37</v>
      </c>
      <c r="K18" s="7" t="s">
        <v>37</v>
      </c>
      <c r="L18" s="4" t="s">
        <v>37</v>
      </c>
      <c r="M18">
        <f t="shared" si="0"/>
        <v>16</v>
      </c>
      <c r="N18" s="10">
        <f t="shared" si="3"/>
        <v>0</v>
      </c>
      <c r="O18" t="str">
        <f t="shared" si="1"/>
        <v>No</v>
      </c>
      <c r="P18" t="str">
        <f t="shared" si="2"/>
        <v>Yes</v>
      </c>
    </row>
    <row r="19" spans="1:16" x14ac:dyDescent="0.35">
      <c r="A19" s="5" t="s">
        <v>17</v>
      </c>
      <c r="B19" s="8" t="s">
        <v>29</v>
      </c>
      <c r="C19" s="7" t="s">
        <v>36</v>
      </c>
      <c r="D19" s="8">
        <v>40</v>
      </c>
      <c r="E19" s="8" t="s">
        <v>38</v>
      </c>
      <c r="F19" s="8" t="s">
        <v>37</v>
      </c>
      <c r="G19" s="8" t="s">
        <v>37</v>
      </c>
      <c r="H19" s="8" t="s">
        <v>37</v>
      </c>
      <c r="I19" s="8" t="s">
        <v>37</v>
      </c>
      <c r="J19" s="8" t="s">
        <v>37</v>
      </c>
      <c r="K19" s="8" t="s">
        <v>38</v>
      </c>
      <c r="L19" s="6" t="s">
        <v>38</v>
      </c>
      <c r="M19">
        <f t="shared" si="0"/>
        <v>8</v>
      </c>
      <c r="N19" s="10">
        <f t="shared" si="3"/>
        <v>0</v>
      </c>
      <c r="O19" t="str">
        <f t="shared" si="1"/>
        <v>No</v>
      </c>
      <c r="P19" t="str">
        <f t="shared" si="2"/>
        <v>No</v>
      </c>
    </row>
    <row r="20" spans="1:16" x14ac:dyDescent="0.35">
      <c r="A20" s="3" t="s">
        <v>18</v>
      </c>
      <c r="B20" s="7" t="s">
        <v>30</v>
      </c>
      <c r="C20" s="7" t="s">
        <v>36</v>
      </c>
      <c r="D20" s="7">
        <v>40</v>
      </c>
      <c r="E20" s="7" t="s">
        <v>37</v>
      </c>
      <c r="F20" s="7" t="s">
        <v>37</v>
      </c>
      <c r="G20" s="7" t="s">
        <v>37</v>
      </c>
      <c r="H20" s="7" t="s">
        <v>37</v>
      </c>
      <c r="I20" s="7" t="s">
        <v>37</v>
      </c>
      <c r="J20" s="7" t="s">
        <v>37</v>
      </c>
      <c r="K20" s="7" t="s">
        <v>37</v>
      </c>
      <c r="L20" s="4" t="s">
        <v>38</v>
      </c>
      <c r="M20">
        <f t="shared" si="0"/>
        <v>16</v>
      </c>
      <c r="N20" s="10">
        <f t="shared" si="3"/>
        <v>0</v>
      </c>
      <c r="O20" t="str">
        <f t="shared" si="1"/>
        <v>No</v>
      </c>
      <c r="P20" t="str">
        <f t="shared" si="2"/>
        <v>Yes</v>
      </c>
    </row>
    <row r="21" spans="1:16" x14ac:dyDescent="0.35">
      <c r="A21" s="5" t="s">
        <v>19</v>
      </c>
      <c r="B21" s="8" t="s">
        <v>31</v>
      </c>
      <c r="C21" s="7" t="s">
        <v>36</v>
      </c>
      <c r="D21" s="8">
        <v>40</v>
      </c>
      <c r="E21" s="8" t="s">
        <v>38</v>
      </c>
      <c r="F21" s="8" t="s">
        <v>37</v>
      </c>
      <c r="G21" s="8" t="s">
        <v>37</v>
      </c>
      <c r="H21" s="8" t="s">
        <v>37</v>
      </c>
      <c r="I21" s="8" t="s">
        <v>37</v>
      </c>
      <c r="J21" s="8" t="s">
        <v>37</v>
      </c>
      <c r="K21" s="8" t="s">
        <v>37</v>
      </c>
      <c r="L21" s="6" t="s">
        <v>37</v>
      </c>
      <c r="M21">
        <f t="shared" si="0"/>
        <v>8</v>
      </c>
      <c r="N21" s="10">
        <f t="shared" si="3"/>
        <v>0</v>
      </c>
      <c r="O21" t="str">
        <f t="shared" si="1"/>
        <v>No</v>
      </c>
      <c r="P21" t="str">
        <f t="shared" si="2"/>
        <v>No</v>
      </c>
    </row>
    <row r="22" spans="1:16" x14ac:dyDescent="0.35">
      <c r="A22" s="3" t="s">
        <v>20</v>
      </c>
      <c r="B22" s="7" t="s">
        <v>32</v>
      </c>
      <c r="C22" s="7" t="s">
        <v>36</v>
      </c>
      <c r="D22" s="7">
        <v>40</v>
      </c>
      <c r="E22" s="7" t="s">
        <v>38</v>
      </c>
      <c r="F22" s="7" t="s">
        <v>37</v>
      </c>
      <c r="G22" s="7" t="s">
        <v>37</v>
      </c>
      <c r="H22" s="7" t="s">
        <v>37</v>
      </c>
      <c r="I22" s="7" t="s">
        <v>37</v>
      </c>
      <c r="J22" s="7" t="s">
        <v>37</v>
      </c>
      <c r="K22" s="7" t="s">
        <v>38</v>
      </c>
      <c r="L22" s="4" t="s">
        <v>38</v>
      </c>
      <c r="M22">
        <f t="shared" si="0"/>
        <v>16</v>
      </c>
      <c r="N22" s="10">
        <f t="shared" si="3"/>
        <v>0</v>
      </c>
      <c r="O22" t="str">
        <f t="shared" si="1"/>
        <v>Yes</v>
      </c>
      <c r="P22" t="str">
        <f t="shared" si="2"/>
        <v>No</v>
      </c>
    </row>
    <row r="23" spans="1:16" x14ac:dyDescent="0.35">
      <c r="A23" s="5" t="s">
        <v>21</v>
      </c>
      <c r="B23" s="8" t="s">
        <v>33</v>
      </c>
      <c r="C23" s="7" t="s">
        <v>36</v>
      </c>
      <c r="D23" s="8">
        <v>40</v>
      </c>
      <c r="E23" s="8" t="s">
        <v>37</v>
      </c>
      <c r="F23" s="8" t="s">
        <v>38</v>
      </c>
      <c r="G23" s="8" t="s">
        <v>37</v>
      </c>
      <c r="H23" s="8" t="s">
        <v>37</v>
      </c>
      <c r="I23" s="8" t="s">
        <v>37</v>
      </c>
      <c r="J23" s="8" t="s">
        <v>37</v>
      </c>
      <c r="K23" s="8" t="s">
        <v>37</v>
      </c>
      <c r="L23" s="6" t="s">
        <v>37</v>
      </c>
      <c r="M23">
        <f t="shared" si="0"/>
        <v>16</v>
      </c>
      <c r="N23" s="10">
        <f t="shared" si="3"/>
        <v>0</v>
      </c>
      <c r="O23" t="str">
        <f t="shared" si="1"/>
        <v>No</v>
      </c>
      <c r="P23" t="str">
        <f t="shared" si="2"/>
        <v>No</v>
      </c>
    </row>
    <row r="24" spans="1:16" x14ac:dyDescent="0.35">
      <c r="A24" s="3" t="s">
        <v>22</v>
      </c>
      <c r="B24" s="7" t="s">
        <v>34</v>
      </c>
      <c r="C24" s="7" t="s">
        <v>36</v>
      </c>
      <c r="D24" s="7">
        <v>40</v>
      </c>
      <c r="E24" s="7" t="s">
        <v>37</v>
      </c>
      <c r="F24" s="7" t="s">
        <v>37</v>
      </c>
      <c r="G24" s="7" t="s">
        <v>37</v>
      </c>
      <c r="H24" s="7" t="s">
        <v>37</v>
      </c>
      <c r="I24" s="7" t="s">
        <v>37</v>
      </c>
      <c r="J24" s="7" t="s">
        <v>37</v>
      </c>
      <c r="K24" s="7" t="s">
        <v>37</v>
      </c>
      <c r="L24" s="4" t="s">
        <v>37</v>
      </c>
      <c r="M24">
        <f t="shared" si="0"/>
        <v>8</v>
      </c>
      <c r="N24" s="10">
        <f t="shared" si="3"/>
        <v>0</v>
      </c>
      <c r="O24" t="str">
        <f t="shared" si="1"/>
        <v>No</v>
      </c>
      <c r="P24" t="str">
        <f t="shared" si="2"/>
        <v>No</v>
      </c>
    </row>
    <row r="25" spans="1:16" x14ac:dyDescent="0.35">
      <c r="A25" s="5" t="s">
        <v>23</v>
      </c>
      <c r="B25" s="8" t="s">
        <v>35</v>
      </c>
      <c r="C25" s="7" t="s">
        <v>36</v>
      </c>
      <c r="D25" s="8">
        <v>40</v>
      </c>
      <c r="E25" s="8" t="s">
        <v>38</v>
      </c>
      <c r="F25" s="8" t="s">
        <v>37</v>
      </c>
      <c r="G25" s="8" t="s">
        <v>37</v>
      </c>
      <c r="H25" s="8" t="s">
        <v>37</v>
      </c>
      <c r="I25" s="8" t="s">
        <v>37</v>
      </c>
      <c r="J25" s="8" t="s">
        <v>37</v>
      </c>
      <c r="K25" s="8" t="s">
        <v>37</v>
      </c>
      <c r="L25" s="6" t="s">
        <v>38</v>
      </c>
      <c r="M25">
        <f t="shared" si="0"/>
        <v>16</v>
      </c>
      <c r="N25" s="10">
        <f t="shared" si="3"/>
        <v>0</v>
      </c>
      <c r="O25" t="str">
        <f t="shared" si="1"/>
        <v>No</v>
      </c>
      <c r="P25" t="str">
        <f t="shared" si="2"/>
        <v>No</v>
      </c>
    </row>
  </sheetData>
  <phoneticPr fontId="3" type="noConversion"/>
  <conditionalFormatting sqref="B14:B25">
    <cfRule type="expression" dxfId="4" priority="2">
      <formula>$O14="Yes"</formula>
    </cfRule>
    <cfRule type="expression" dxfId="3" priority="3">
      <formula>$P14="Yes"</formula>
    </cfRule>
    <cfRule type="expression" priority="5">
      <formula>$O14="Yes"</formula>
    </cfRule>
  </conditionalFormatting>
  <conditionalFormatting sqref="B14:N25">
    <cfRule type="expression" dxfId="2" priority="1">
      <formula>AND($N14&gt;0, $E14="No")</formula>
    </cfRule>
  </conditionalFormatting>
  <conditionalFormatting sqref="O14:O25">
    <cfRule type="cellIs" dxfId="1" priority="6" operator="equal">
      <formula>"Yes"</formula>
    </cfRule>
  </conditionalFormatting>
  <conditionalFormatting sqref="P14:P25">
    <cfRule type="cellIs" dxfId="0" priority="4" operator="equal">
      <formula>"Yes"</formula>
    </cfRule>
  </conditionalFormatting>
  <dataValidations count="1">
    <dataValidation type="list" allowBlank="1" showInputMessage="1" showErrorMessage="1" sqref="C4:E10" xr:uid="{08F93D5C-AC6D-4D69-9983-4C5F7D9647CB}">
      <formula1>EmployeeNames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BF62-C8E3-487D-B961-4F32F6BBFD88}">
  <dimension ref="A1:E22"/>
  <sheetViews>
    <sheetView zoomScaleNormal="100" workbookViewId="0">
      <pane ySplit="1" topLeftCell="A2" activePane="bottomLeft" state="frozen"/>
      <selection pane="bottomLeft" activeCell="D32" sqref="D32"/>
    </sheetView>
  </sheetViews>
  <sheetFormatPr defaultRowHeight="14.5" x14ac:dyDescent="0.35"/>
  <cols>
    <col min="1" max="1" width="34.54296875" bestFit="1" customWidth="1"/>
    <col min="2" max="2" width="22.08984375" bestFit="1" customWidth="1"/>
    <col min="4" max="4" width="18.6328125" bestFit="1" customWidth="1"/>
    <col min="5" max="5" width="12.54296875" customWidth="1"/>
    <col min="7" max="7" width="13.36328125" bestFit="1" customWidth="1"/>
    <col min="8" max="8" width="10" bestFit="1" customWidth="1"/>
  </cols>
  <sheetData>
    <row r="1" spans="1:5" x14ac:dyDescent="0.35">
      <c r="A1" s="11" t="s">
        <v>75</v>
      </c>
    </row>
    <row r="3" spans="1:5" x14ac:dyDescent="0.35">
      <c r="A3" s="1" t="s">
        <v>59</v>
      </c>
      <c r="B3" s="1" t="s">
        <v>71</v>
      </c>
      <c r="D3" t="s">
        <v>73</v>
      </c>
      <c r="E3" t="s">
        <v>64</v>
      </c>
    </row>
    <row r="4" spans="1:5" x14ac:dyDescent="0.35">
      <c r="A4" s="1" t="s">
        <v>60</v>
      </c>
      <c r="B4">
        <f>COUNTA(Schedule!B14:B25)</f>
        <v>12</v>
      </c>
      <c r="D4" t="str">
        <f>Schedule!B14</f>
        <v>Venu</v>
      </c>
      <c r="E4">
        <f>Schedule!M14</f>
        <v>24</v>
      </c>
    </row>
    <row r="5" spans="1:5" x14ac:dyDescent="0.35">
      <c r="A5" s="1" t="s">
        <v>61</v>
      </c>
      <c r="B5">
        <f>SUM(Schedule!M14:M25)</f>
        <v>168</v>
      </c>
      <c r="D5" t="str">
        <f>Schedule!B15</f>
        <v>Sangeetha</v>
      </c>
      <c r="E5">
        <f>Schedule!M15</f>
        <v>8</v>
      </c>
    </row>
    <row r="6" spans="1:5" x14ac:dyDescent="0.35">
      <c r="A6" s="1" t="s">
        <v>62</v>
      </c>
      <c r="B6">
        <f>SUM(Schedule!N14:N25)</f>
        <v>0</v>
      </c>
      <c r="D6" t="str">
        <f>Schedule!B16</f>
        <v>Ravi</v>
      </c>
      <c r="E6">
        <f>Schedule!M16</f>
        <v>8</v>
      </c>
    </row>
    <row r="7" spans="1:5" x14ac:dyDescent="0.35">
      <c r="A7" s="1" t="s">
        <v>70</v>
      </c>
      <c r="B7">
        <f>COUNTIF(Schedule!O14:O25,"Yes")</f>
        <v>3</v>
      </c>
      <c r="D7" t="str">
        <f>Schedule!B17</f>
        <v>Rushitha</v>
      </c>
      <c r="E7">
        <f>Schedule!M17</f>
        <v>24</v>
      </c>
    </row>
    <row r="8" spans="1:5" x14ac:dyDescent="0.35">
      <c r="A8" s="1" t="s">
        <v>72</v>
      </c>
      <c r="B8">
        <f>COUNTIF(Schedule!P14:P25,"Yes")</f>
        <v>2</v>
      </c>
      <c r="D8" t="str">
        <f>Schedule!B18</f>
        <v>Ishnai</v>
      </c>
      <c r="E8">
        <f>Schedule!M18</f>
        <v>16</v>
      </c>
    </row>
    <row r="9" spans="1:5" x14ac:dyDescent="0.35">
      <c r="A9" s="1" t="s">
        <v>76</v>
      </c>
      <c r="B9">
        <f>IFERROR(SUM(Schedule!M14:M25)/COUNTA(Schedule!B14:B25),0)</f>
        <v>14</v>
      </c>
      <c r="D9" t="str">
        <f>Schedule!B19</f>
        <v>Vindhya</v>
      </c>
      <c r="E9">
        <f>Schedule!M19</f>
        <v>8</v>
      </c>
    </row>
    <row r="10" spans="1:5" x14ac:dyDescent="0.35">
      <c r="A10" s="1" t="s">
        <v>77</v>
      </c>
      <c r="B10">
        <f>COUNTIF(Schedule!N14:N25,"&gt;0")</f>
        <v>0</v>
      </c>
      <c r="D10" t="str">
        <f>Schedule!B20</f>
        <v>Varshith</v>
      </c>
      <c r="E10">
        <f>Schedule!M20</f>
        <v>16</v>
      </c>
    </row>
    <row r="11" spans="1:5" x14ac:dyDescent="0.35">
      <c r="A11" s="1" t="s">
        <v>63</v>
      </c>
      <c r="B11">
        <f>COUNTIF(Schedule!O14:O25,"Yes")+COUNTIF(Schedule!P14:P25,"Yes")</f>
        <v>5</v>
      </c>
      <c r="D11" t="str">
        <f>Schedule!B21</f>
        <v>Ashwitha</v>
      </c>
      <c r="E11">
        <f>Schedule!M21</f>
        <v>8</v>
      </c>
    </row>
    <row r="12" spans="1:5" x14ac:dyDescent="0.35">
      <c r="D12" t="str">
        <f>Schedule!B22</f>
        <v>Srivarsha</v>
      </c>
      <c r="E12">
        <f>Schedule!M22</f>
        <v>16</v>
      </c>
    </row>
    <row r="13" spans="1:5" x14ac:dyDescent="0.35">
      <c r="D13" t="str">
        <f>Schedule!B23</f>
        <v>Vardhan</v>
      </c>
      <c r="E13">
        <f>Schedule!M23</f>
        <v>16</v>
      </c>
    </row>
    <row r="14" spans="1:5" x14ac:dyDescent="0.35">
      <c r="D14" t="str">
        <f>Schedule!B24</f>
        <v>Prem</v>
      </c>
      <c r="E14">
        <f>Schedule!M24</f>
        <v>8</v>
      </c>
    </row>
    <row r="15" spans="1:5" x14ac:dyDescent="0.35">
      <c r="D15" t="str">
        <f>Schedule!B25</f>
        <v>Manasa</v>
      </c>
      <c r="E15">
        <f>Schedule!M25</f>
        <v>16</v>
      </c>
    </row>
    <row r="19" spans="4:5" x14ac:dyDescent="0.35">
      <c r="D19" t="s">
        <v>78</v>
      </c>
      <c r="E19" t="s">
        <v>79</v>
      </c>
    </row>
    <row r="20" spans="4:5" x14ac:dyDescent="0.35">
      <c r="D20" t="s">
        <v>80</v>
      </c>
      <c r="E20">
        <f>COUNTIF(Schedule!O14:O25,"Yes")</f>
        <v>3</v>
      </c>
    </row>
    <row r="21" spans="4:5" x14ac:dyDescent="0.35">
      <c r="D21" t="s">
        <v>81</v>
      </c>
      <c r="E21">
        <f>COUNTIF(Schedule!O14:P25,"Yes")</f>
        <v>5</v>
      </c>
    </row>
    <row r="22" spans="4:5" x14ac:dyDescent="0.35">
      <c r="D22" t="s">
        <v>82</v>
      </c>
      <c r="E22">
        <f>COUNTIF(Schedule!N14:N25,"&gt;0")</f>
        <v>0</v>
      </c>
    </row>
  </sheetData>
  <phoneticPr fontId="3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Employees</vt:lpstr>
      <vt:lpstr>Shifts</vt:lpstr>
      <vt:lpstr>Schedule</vt:lpstr>
      <vt:lpstr>Dashboard</vt:lpstr>
      <vt:lpstr>EmployeeNames</vt:lpstr>
      <vt:lpstr>WeekStart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prasuna gadapa</dc:creator>
  <cp:lastModifiedBy>prasuna gadapa</cp:lastModifiedBy>
  <cp:lastPrinted>2026-06-01T09:18:15Z</cp:lastPrinted>
  <dcterms:created xsi:type="dcterms:W3CDTF">2026-05-26T07:23:23Z</dcterms:created>
  <dcterms:modified xsi:type="dcterms:W3CDTF">2026-06-01T09:18:31Z</dcterms:modified>
</cp:coreProperties>
</file>